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https://d.docs.live.net/6ae5af7a2d3cfe05/Desktop/"/>
    </mc:Choice>
  </mc:AlternateContent>
  <xr:revisionPtr revIDLastSave="0" documentId="8_{1A076627-B2E4-4A6E-87FC-44D45C499C5D}" xr6:coauthVersionLast="47" xr6:coauthVersionMax="47" xr10:uidLastSave="{00000000-0000-0000-0000-000000000000}"/>
  <bookViews>
    <workbookView xWindow="-110" yWindow="-110" windowWidth="19420" windowHeight="10300" xr2:uid="{06F5A1EC-07C0-4B9B-BDE3-E2B2DAB6F548}"/>
  </bookViews>
  <sheets>
    <sheet name="Tabell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8" i="1" l="1"/>
  <c r="E33" i="1"/>
  <c r="D33" i="1"/>
  <c r="E24" i="1"/>
  <c r="D24" i="1"/>
  <c r="E19" i="1"/>
  <c r="D19" i="1"/>
  <c r="E10" i="1"/>
  <c r="D10" i="1"/>
</calcChain>
</file>

<file path=xl/sharedStrings.xml><?xml version="1.0" encoding="utf-8"?>
<sst xmlns="http://schemas.openxmlformats.org/spreadsheetml/2006/main" count="99" uniqueCount="69">
  <si>
    <t>Phase</t>
  </si>
  <si>
    <t>Startdatum</t>
  </si>
  <si>
    <t>Enddatum</t>
  </si>
  <si>
    <t>StdSoll(h)</t>
  </si>
  <si>
    <t>StdIst(h)</t>
  </si>
  <si>
    <t>Person(en)</t>
  </si>
  <si>
    <t>Gemacht</t>
  </si>
  <si>
    <t>Informieren</t>
  </si>
  <si>
    <t>NoSQL-Datenbank Anforderungen</t>
  </si>
  <si>
    <t>0.5</t>
  </si>
  <si>
    <t>BB, DR, MG</t>
  </si>
  <si>
    <t>Datenbank Anforderungen wurden angeschaut und erste Diskusion</t>
  </si>
  <si>
    <t>Backend Anforderungen</t>
  </si>
  <si>
    <t>Backend Anforderungen wurden angeschaut, diskutiert</t>
  </si>
  <si>
    <t xml:space="preserve"> WebAPI Anforderungen</t>
  </si>
  <si>
    <t>Die Anforderungen an die WebAPI in kombination mit SignalR informiert</t>
  </si>
  <si>
    <t>SignalR erste Informationen holen</t>
  </si>
  <si>
    <t>Echtzeit-Webfunktionen für Client und Server. Immer wenn ein Benutzer die Seite aktualisiert um neue Daten zu erhalten oder nach einer Zeit es aktualisiert werden muss, dann ist SignalR geeignet für das Projekt.</t>
  </si>
  <si>
    <t>Wireframe anforderungen</t>
  </si>
  <si>
    <t>MG</t>
  </si>
  <si>
    <t>Anforderungen gelesen und erste Überlegungen gemacht</t>
  </si>
  <si>
    <t>Projektplanung erstellen</t>
  </si>
  <si>
    <t>Die einzelnen Schritte wurden in Arbeitspakete eingeteilt und zugewiesen. Dieses Exel wurde erschaffen</t>
  </si>
  <si>
    <t>Total(Informieren):</t>
  </si>
  <si>
    <t>Planen</t>
  </si>
  <si>
    <t>Web API Endpunkte planen</t>
  </si>
  <si>
    <t>BB</t>
  </si>
  <si>
    <t>Die API Endpunkte wurden geplant und können umgesetzt werden.</t>
  </si>
  <si>
    <t>Datenbankmodel</t>
  </si>
  <si>
    <t>einfaches Datenbankmodel erstellt.</t>
  </si>
  <si>
    <t>Datenbank erstulungs Methode codefirst oder skript</t>
  </si>
  <si>
    <t>Entschieden Datenbank mit skript erstellen</t>
  </si>
  <si>
    <t>Backup und Restore Möglichkeiten</t>
  </si>
  <si>
    <t>DR</t>
  </si>
  <si>
    <t>Scripts wurden erstellt und hochgeladen ins GitHub für Backup und Restore.</t>
  </si>
  <si>
    <t>Wireframes erstellen</t>
  </si>
  <si>
    <t>Wireframes wurden erstellt um die ersten Frontend-Ideen zu sammeln.</t>
  </si>
  <si>
    <t>Wireframes besprechen</t>
  </si>
  <si>
    <t>Die Wireframes wurden besprochen und es wurde einpaar Kleinigkeiten angepasst</t>
  </si>
  <si>
    <t>Total(Planen):</t>
  </si>
  <si>
    <t>Entscheiden</t>
  </si>
  <si>
    <t>Welche Tools einsetzten</t>
  </si>
  <si>
    <t>Jede Person hat jenach Aufgaben selbst entschieden, welche Tools eingesetzt werden sollten, jedoch haben wir im Meeting dies angesprochen um aufeinander abgestimmt zu werden.</t>
  </si>
  <si>
    <t>Datenbankstruktur umsetzung</t>
  </si>
  <si>
    <t>Datenbankstrukrur wurde eingesetzt und erstellt.</t>
  </si>
  <si>
    <t>Total(Entscheiden):</t>
  </si>
  <si>
    <t>Realisieren</t>
  </si>
  <si>
    <t>Frontend nach Angaben des Wireframes erstellen</t>
  </si>
  <si>
    <t>Die Hauptteile wurden unterteilt und an mehreren Personen abgegeben um, dass Frontend zu erstellen.</t>
  </si>
  <si>
    <t>Backend erstellen</t>
  </si>
  <si>
    <t>Backend für Users erstellt.</t>
  </si>
  <si>
    <t>Datenbank erstellen mit  Skript</t>
  </si>
  <si>
    <t>Alle Scripts, die für die Erstinitialisierung der Datenbank benötigt werden, wurden erstellt und hochgeladen. Seed Daten für Users wurde auch erstellt.</t>
  </si>
  <si>
    <t>Datenbank Validierungen</t>
  </si>
  <si>
    <t>Datenbankschema wurde erstellt</t>
  </si>
  <si>
    <t>Projektdokumentation erstellen</t>
  </si>
  <si>
    <t>Zeitlich nicht erreicht.</t>
  </si>
  <si>
    <t>Projektdokumentation fertigstellen</t>
  </si>
  <si>
    <t>Total(Realisieren):</t>
  </si>
  <si>
    <t>Kontrollieren</t>
  </si>
  <si>
    <t>Postman Endpunkte testen</t>
  </si>
  <si>
    <t>Usebility Tests des Frontends</t>
  </si>
  <si>
    <t>MG, DR</t>
  </si>
  <si>
    <t>Das was wir haben, wurde getestet.</t>
  </si>
  <si>
    <t>Total(Kontrollieren):</t>
  </si>
  <si>
    <t>Auswerten</t>
  </si>
  <si>
    <t>Projektpräsentation halten</t>
  </si>
  <si>
    <t>Rückblick und Fazit zum Projekt</t>
  </si>
  <si>
    <t>Total(Auswerten):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</si>
</sst>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0"/>
      <name val="Calibri"/>
      <family val="2"/>
      <scheme val="minor"/>
    </font>
    <font>
      <sz val="11"/>
      <color rgb="FFFFFFFF"/>
      <name val="Calibri"/>
      <family val="2"/>
      <scheme val="minor"/>
    </font>
  </fonts>
  <fills count="9">
    <fill>
      <patternFill patternType="none"/>
    </fill>
    <fill>
      <patternFill patternType="gray125"/>
    </fill>
    <fill>
      <patternFill patternType="solid">
        <fgColor theme="6"/>
      </patternFill>
    </fill>
    <fill>
      <patternFill patternType="solid">
        <fgColor theme="0" tint="-0.34998626667073579"/>
        <bgColor indexed="64"/>
      </patternFill>
    </fill>
    <fill>
      <patternFill patternType="solid">
        <fgColor theme="6"/>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0000"/>
        <bgColor indexed="64"/>
      </patternFill>
    </fill>
  </fills>
  <borders count="1">
    <border>
      <left/>
      <right/>
      <top/>
      <bottom/>
      <diagonal/>
    </border>
  </borders>
  <cellStyleXfs count="2">
    <xf numFmtId="0" fontId="0" fillId="0" borderId="0"/>
    <xf numFmtId="0" fontId="2" fillId="2" borderId="0" applyNumberFormat="0" applyBorder="0" applyAlignment="0" applyProtection="0"/>
  </cellStyleXfs>
  <cellXfs count="14">
    <xf numFmtId="0" fontId="0" fillId="0" borderId="0" xfId="0"/>
    <xf numFmtId="0" fontId="1" fillId="0" borderId="0" xfId="0" applyFont="1"/>
    <xf numFmtId="0" fontId="2" fillId="2" borderId="0" xfId="1"/>
    <xf numFmtId="0" fontId="0" fillId="3" borderId="0" xfId="0" applyFill="1"/>
    <xf numFmtId="14" fontId="0" fillId="0" borderId="0" xfId="0" applyNumberFormat="1"/>
    <xf numFmtId="0" fontId="0" fillId="0" borderId="0" xfId="0" applyAlignment="1">
      <alignment horizontal="right"/>
    </xf>
    <xf numFmtId="0" fontId="0" fillId="4" borderId="0" xfId="0" applyFill="1"/>
    <xf numFmtId="0" fontId="3" fillId="4" borderId="0" xfId="0" applyFont="1" applyFill="1"/>
    <xf numFmtId="0" fontId="0" fillId="5" borderId="0" xfId="0" applyFill="1"/>
    <xf numFmtId="0" fontId="0" fillId="6" borderId="0" xfId="0" applyFill="1"/>
    <xf numFmtId="0" fontId="0" fillId="7" borderId="0" xfId="0" applyFill="1"/>
    <xf numFmtId="0" fontId="0" fillId="8" borderId="0" xfId="0" applyFill="1"/>
    <xf numFmtId="0" fontId="2" fillId="8" borderId="0" xfId="0" applyFont="1" applyFill="1"/>
    <xf numFmtId="0" fontId="0" fillId="7" borderId="0" xfId="0" applyFill="1" applyAlignment="1">
      <alignment horizontal="right"/>
    </xf>
  </cellXfs>
  <cellStyles count="2">
    <cellStyle name="Akzent3" xfId="1" builtinId="37"/>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E9F6D-DE3C-426E-B9F3-8AED8B479448}">
  <dimension ref="A1:G43"/>
  <sheetViews>
    <sheetView tabSelected="1" workbookViewId="0">
      <selection activeCell="G41" sqref="G41"/>
    </sheetView>
  </sheetViews>
  <sheetFormatPr baseColWidth="10" defaultColWidth="11.453125" defaultRowHeight="14.5" x14ac:dyDescent="0.35"/>
  <cols>
    <col min="1" max="1" width="48.1796875" bestFit="1" customWidth="1"/>
    <col min="2" max="2" width="11.7265625" customWidth="1"/>
    <col min="3" max="3" width="11.1796875" customWidth="1"/>
    <col min="4" max="4" width="6.81640625" customWidth="1"/>
    <col min="5" max="5" width="6.453125" customWidth="1"/>
    <col min="6" max="6" width="10.453125" customWidth="1"/>
    <col min="7" max="7" width="181.7265625" customWidth="1"/>
  </cols>
  <sheetData>
    <row r="1" spans="1:7" x14ac:dyDescent="0.35">
      <c r="A1" s="1" t="s">
        <v>0</v>
      </c>
      <c r="B1" s="1" t="s">
        <v>1</v>
      </c>
      <c r="C1" s="1" t="s">
        <v>2</v>
      </c>
      <c r="D1" s="1" t="s">
        <v>3</v>
      </c>
      <c r="E1" s="1" t="s">
        <v>4</v>
      </c>
      <c r="F1" s="1" t="s">
        <v>5</v>
      </c>
      <c r="G1" s="1" t="s">
        <v>6</v>
      </c>
    </row>
    <row r="2" spans="1:7" x14ac:dyDescent="0.35">
      <c r="A2" s="2" t="s">
        <v>7</v>
      </c>
      <c r="B2" s="2"/>
      <c r="C2" s="2"/>
      <c r="D2" s="2"/>
      <c r="E2" s="2"/>
      <c r="F2" s="3"/>
      <c r="G2" s="3"/>
    </row>
    <row r="3" spans="1:7" x14ac:dyDescent="0.35">
      <c r="A3" t="s">
        <v>8</v>
      </c>
      <c r="B3" s="4">
        <v>45327</v>
      </c>
      <c r="C3" s="4">
        <v>45327</v>
      </c>
      <c r="D3" s="5" t="s">
        <v>9</v>
      </c>
      <c r="E3" s="5" t="s">
        <v>9</v>
      </c>
      <c r="F3" t="s">
        <v>10</v>
      </c>
      <c r="G3" t="s">
        <v>11</v>
      </c>
    </row>
    <row r="4" spans="1:7" x14ac:dyDescent="0.35">
      <c r="A4" t="s">
        <v>12</v>
      </c>
      <c r="B4" s="4">
        <v>45327</v>
      </c>
      <c r="C4" s="4">
        <v>45327</v>
      </c>
      <c r="D4">
        <v>1</v>
      </c>
      <c r="E4">
        <v>1</v>
      </c>
      <c r="F4" t="s">
        <v>10</v>
      </c>
      <c r="G4" t="s">
        <v>13</v>
      </c>
    </row>
    <row r="5" spans="1:7" x14ac:dyDescent="0.35">
      <c r="A5" t="s">
        <v>14</v>
      </c>
      <c r="B5" s="4">
        <v>45327</v>
      </c>
      <c r="C5" s="4">
        <v>45327</v>
      </c>
      <c r="D5">
        <v>1</v>
      </c>
      <c r="E5">
        <v>1</v>
      </c>
      <c r="F5" t="s">
        <v>10</v>
      </c>
      <c r="G5" t="s">
        <v>15</v>
      </c>
    </row>
    <row r="6" spans="1:7" x14ac:dyDescent="0.35">
      <c r="A6" t="s">
        <v>16</v>
      </c>
      <c r="B6" s="4">
        <v>45327</v>
      </c>
      <c r="C6" s="4">
        <v>45327</v>
      </c>
      <c r="D6">
        <v>2</v>
      </c>
      <c r="E6">
        <v>2</v>
      </c>
      <c r="F6" t="s">
        <v>10</v>
      </c>
      <c r="G6" t="s">
        <v>17</v>
      </c>
    </row>
    <row r="7" spans="1:7" x14ac:dyDescent="0.35">
      <c r="A7" t="s">
        <v>18</v>
      </c>
      <c r="B7" s="4">
        <v>45327</v>
      </c>
      <c r="C7" s="4">
        <v>45327</v>
      </c>
      <c r="D7" s="5" t="s">
        <v>9</v>
      </c>
      <c r="E7" s="5" t="s">
        <v>9</v>
      </c>
      <c r="F7" t="s">
        <v>19</v>
      </c>
      <c r="G7" t="s">
        <v>20</v>
      </c>
    </row>
    <row r="8" spans="1:7" x14ac:dyDescent="0.35">
      <c r="A8" t="s">
        <v>21</v>
      </c>
      <c r="B8" s="4">
        <v>45329</v>
      </c>
      <c r="C8" s="4">
        <v>45329</v>
      </c>
      <c r="D8">
        <v>1</v>
      </c>
      <c r="E8">
        <v>1</v>
      </c>
      <c r="F8" t="s">
        <v>19</v>
      </c>
      <c r="G8" t="s">
        <v>22</v>
      </c>
    </row>
    <row r="10" spans="1:7" x14ac:dyDescent="0.35">
      <c r="A10" s="8" t="s">
        <v>23</v>
      </c>
      <c r="B10" s="8"/>
      <c r="C10" s="8"/>
      <c r="D10" s="8">
        <f>SUM(D4,D3,D5,D6,D7,D8)</f>
        <v>5</v>
      </c>
      <c r="E10" s="8">
        <f>SUM(E4,E3,E5,E6,E7,E8)</f>
        <v>5</v>
      </c>
    </row>
    <row r="11" spans="1:7" x14ac:dyDescent="0.35">
      <c r="A11" s="2" t="s">
        <v>24</v>
      </c>
      <c r="B11" s="2"/>
      <c r="C11" s="2"/>
      <c r="D11" s="2"/>
      <c r="E11" s="2"/>
      <c r="F11" s="3"/>
      <c r="G11" s="3"/>
    </row>
    <row r="12" spans="1:7" x14ac:dyDescent="0.35">
      <c r="A12" t="s">
        <v>25</v>
      </c>
      <c r="B12" s="4">
        <v>45328</v>
      </c>
      <c r="C12" s="4">
        <v>45328</v>
      </c>
      <c r="D12">
        <v>1</v>
      </c>
      <c r="E12">
        <v>1</v>
      </c>
      <c r="F12" t="s">
        <v>26</v>
      </c>
      <c r="G12" t="s">
        <v>27</v>
      </c>
    </row>
    <row r="13" spans="1:7" x14ac:dyDescent="0.35">
      <c r="A13" t="s">
        <v>28</v>
      </c>
      <c r="B13" s="4">
        <v>45328</v>
      </c>
      <c r="C13" s="4">
        <v>45328</v>
      </c>
      <c r="D13">
        <v>1</v>
      </c>
      <c r="E13" s="5" t="s">
        <v>9</v>
      </c>
      <c r="F13" t="s">
        <v>19</v>
      </c>
      <c r="G13" t="s">
        <v>29</v>
      </c>
    </row>
    <row r="14" spans="1:7" x14ac:dyDescent="0.35">
      <c r="A14" t="s">
        <v>30</v>
      </c>
      <c r="B14" s="4">
        <v>45328</v>
      </c>
      <c r="C14" s="4">
        <v>45328</v>
      </c>
      <c r="D14">
        <v>0.5</v>
      </c>
      <c r="E14" s="5">
        <v>0.5</v>
      </c>
      <c r="F14" t="s">
        <v>26</v>
      </c>
      <c r="G14" t="s">
        <v>31</v>
      </c>
    </row>
    <row r="15" spans="1:7" x14ac:dyDescent="0.35">
      <c r="A15" t="s">
        <v>32</v>
      </c>
      <c r="B15" s="4">
        <v>45329</v>
      </c>
      <c r="C15" s="4">
        <v>45329</v>
      </c>
      <c r="D15">
        <v>1</v>
      </c>
      <c r="E15">
        <v>1</v>
      </c>
      <c r="F15" t="s">
        <v>33</v>
      </c>
      <c r="G15" t="s">
        <v>34</v>
      </c>
    </row>
    <row r="16" spans="1:7" x14ac:dyDescent="0.35">
      <c r="A16" t="s">
        <v>35</v>
      </c>
      <c r="B16" s="4">
        <v>45327</v>
      </c>
      <c r="C16" s="4">
        <v>45327</v>
      </c>
      <c r="D16">
        <v>1</v>
      </c>
      <c r="E16">
        <v>1</v>
      </c>
      <c r="F16" t="s">
        <v>19</v>
      </c>
      <c r="G16" t="s">
        <v>36</v>
      </c>
    </row>
    <row r="17" spans="1:7" x14ac:dyDescent="0.35">
      <c r="A17" t="s">
        <v>37</v>
      </c>
      <c r="B17" s="4">
        <v>45327</v>
      </c>
      <c r="C17" s="4">
        <v>45327</v>
      </c>
      <c r="D17" s="5" t="s">
        <v>9</v>
      </c>
      <c r="E17" s="5" t="s">
        <v>9</v>
      </c>
      <c r="F17" t="s">
        <v>10</v>
      </c>
      <c r="G17" t="s">
        <v>38</v>
      </c>
    </row>
    <row r="18" spans="1:7" x14ac:dyDescent="0.35">
      <c r="B18" s="4"/>
      <c r="C18" s="4"/>
      <c r="D18" s="5"/>
      <c r="E18" s="5"/>
    </row>
    <row r="19" spans="1:7" x14ac:dyDescent="0.35">
      <c r="A19" s="8" t="s">
        <v>39</v>
      </c>
      <c r="B19" s="8"/>
      <c r="C19" s="8"/>
      <c r="D19" s="8">
        <f>SUM(D12:D17)</f>
        <v>4.5</v>
      </c>
      <c r="E19" s="8">
        <f>SUM(E12:E17)</f>
        <v>3.5</v>
      </c>
    </row>
    <row r="20" spans="1:7" x14ac:dyDescent="0.35">
      <c r="A20" s="2" t="s">
        <v>40</v>
      </c>
      <c r="B20" s="2"/>
      <c r="C20" s="2"/>
      <c r="D20" s="2"/>
      <c r="E20" s="2"/>
      <c r="F20" s="3"/>
      <c r="G20" s="3"/>
    </row>
    <row r="21" spans="1:7" x14ac:dyDescent="0.35">
      <c r="A21" t="s">
        <v>41</v>
      </c>
      <c r="B21" s="4">
        <v>45328</v>
      </c>
      <c r="C21" s="4">
        <v>45328</v>
      </c>
      <c r="D21" s="5" t="s">
        <v>9</v>
      </c>
      <c r="E21" s="5">
        <v>0.5</v>
      </c>
      <c r="F21" t="s">
        <v>10</v>
      </c>
      <c r="G21" t="s">
        <v>42</v>
      </c>
    </row>
    <row r="22" spans="1:7" x14ac:dyDescent="0.35">
      <c r="A22" t="s">
        <v>43</v>
      </c>
      <c r="B22" s="4">
        <v>45328</v>
      </c>
      <c r="C22" s="4">
        <v>45328</v>
      </c>
      <c r="D22">
        <v>2</v>
      </c>
      <c r="E22">
        <v>2.5</v>
      </c>
      <c r="F22" t="s">
        <v>33</v>
      </c>
      <c r="G22" t="s">
        <v>44</v>
      </c>
    </row>
    <row r="24" spans="1:7" x14ac:dyDescent="0.35">
      <c r="A24" s="8" t="s">
        <v>45</v>
      </c>
      <c r="B24" s="8"/>
      <c r="C24" s="8"/>
      <c r="D24" s="8">
        <f>SUM(D21,D22)</f>
        <v>2</v>
      </c>
      <c r="E24" s="9">
        <f>SUM(E21,E22)</f>
        <v>3</v>
      </c>
    </row>
    <row r="25" spans="1:7" x14ac:dyDescent="0.35">
      <c r="A25" s="2" t="s">
        <v>46</v>
      </c>
      <c r="B25" s="2"/>
      <c r="C25" s="2"/>
      <c r="D25" s="2"/>
      <c r="E25" s="2"/>
      <c r="F25" s="3"/>
      <c r="G25" s="3"/>
    </row>
    <row r="26" spans="1:7" x14ac:dyDescent="0.35">
      <c r="A26" t="s">
        <v>47</v>
      </c>
      <c r="B26" s="4">
        <v>45328</v>
      </c>
      <c r="C26" s="4">
        <v>45330</v>
      </c>
      <c r="D26">
        <v>6</v>
      </c>
      <c r="E26" s="10">
        <v>9</v>
      </c>
      <c r="F26" t="s">
        <v>10</v>
      </c>
      <c r="G26" t="s">
        <v>48</v>
      </c>
    </row>
    <row r="27" spans="1:7" x14ac:dyDescent="0.35">
      <c r="A27" t="s">
        <v>49</v>
      </c>
      <c r="B27" s="4">
        <v>45329</v>
      </c>
      <c r="C27" s="4">
        <v>45329</v>
      </c>
      <c r="D27">
        <v>3</v>
      </c>
      <c r="E27">
        <v>3</v>
      </c>
      <c r="F27" t="s">
        <v>10</v>
      </c>
      <c r="G27" t="s">
        <v>50</v>
      </c>
    </row>
    <row r="28" spans="1:7" x14ac:dyDescent="0.35">
      <c r="A28" t="s">
        <v>51</v>
      </c>
      <c r="B28" s="4">
        <v>45329</v>
      </c>
      <c r="C28" s="4">
        <v>45329</v>
      </c>
      <c r="D28">
        <v>1</v>
      </c>
      <c r="E28">
        <v>1</v>
      </c>
      <c r="F28" t="s">
        <v>33</v>
      </c>
      <c r="G28" t="s">
        <v>52</v>
      </c>
    </row>
    <row r="29" spans="1:7" x14ac:dyDescent="0.35">
      <c r="A29" t="s">
        <v>53</v>
      </c>
      <c r="B29" s="4">
        <v>45329</v>
      </c>
      <c r="C29" s="4">
        <v>45329</v>
      </c>
      <c r="D29">
        <v>1</v>
      </c>
      <c r="E29">
        <v>1</v>
      </c>
      <c r="F29" t="s">
        <v>33</v>
      </c>
      <c r="G29" t="s">
        <v>54</v>
      </c>
    </row>
    <row r="30" spans="1:7" x14ac:dyDescent="0.35">
      <c r="A30" t="s">
        <v>55</v>
      </c>
      <c r="B30" s="4">
        <v>45330</v>
      </c>
      <c r="D30">
        <v>10</v>
      </c>
      <c r="E30" s="12">
        <v>0</v>
      </c>
      <c r="F30" t="s">
        <v>10</v>
      </c>
      <c r="G30" t="s">
        <v>56</v>
      </c>
    </row>
    <row r="31" spans="1:7" x14ac:dyDescent="0.35">
      <c r="A31" t="s">
        <v>57</v>
      </c>
      <c r="B31" s="4">
        <v>45330</v>
      </c>
      <c r="D31">
        <v>2</v>
      </c>
      <c r="E31" s="12">
        <v>0</v>
      </c>
      <c r="F31" t="s">
        <v>10</v>
      </c>
      <c r="G31" t="s">
        <v>56</v>
      </c>
    </row>
    <row r="33" spans="1:7" x14ac:dyDescent="0.35">
      <c r="A33" s="8" t="s">
        <v>58</v>
      </c>
      <c r="B33" s="8"/>
      <c r="C33" s="8"/>
      <c r="D33" s="8">
        <f>SUM(D26:D31)</f>
        <v>23</v>
      </c>
      <c r="E33" s="11">
        <f>SUM(E26:E31)</f>
        <v>14</v>
      </c>
    </row>
    <row r="34" spans="1:7" x14ac:dyDescent="0.35">
      <c r="A34" s="2" t="s">
        <v>59</v>
      </c>
      <c r="B34" s="2"/>
      <c r="C34" s="2"/>
      <c r="D34" s="2"/>
      <c r="E34" s="2"/>
      <c r="F34" s="3"/>
      <c r="G34" s="3"/>
    </row>
    <row r="35" spans="1:7" x14ac:dyDescent="0.35">
      <c r="A35" t="s">
        <v>60</v>
      </c>
      <c r="B35" s="4">
        <v>45331</v>
      </c>
      <c r="D35">
        <v>1</v>
      </c>
      <c r="E35">
        <v>0</v>
      </c>
      <c r="F35" t="s">
        <v>26</v>
      </c>
    </row>
    <row r="36" spans="1:7" x14ac:dyDescent="0.35">
      <c r="A36" t="s">
        <v>61</v>
      </c>
      <c r="B36" s="4">
        <v>45331</v>
      </c>
      <c r="D36">
        <v>1</v>
      </c>
      <c r="E36" s="5" t="s">
        <v>9</v>
      </c>
      <c r="F36" t="s">
        <v>62</v>
      </c>
      <c r="G36" t="s">
        <v>63</v>
      </c>
    </row>
    <row r="37" spans="1:7" x14ac:dyDescent="0.35">
      <c r="B37" s="4"/>
    </row>
    <row r="38" spans="1:7" x14ac:dyDescent="0.35">
      <c r="A38" s="8" t="s">
        <v>64</v>
      </c>
      <c r="B38" s="8"/>
      <c r="C38" s="8"/>
      <c r="D38" s="8">
        <f>SUM(D35:D36)</f>
        <v>2</v>
      </c>
      <c r="E38" s="13" t="s">
        <v>9</v>
      </c>
    </row>
    <row r="39" spans="1:7" x14ac:dyDescent="0.35">
      <c r="A39" s="7" t="s">
        <v>65</v>
      </c>
      <c r="B39" s="6"/>
      <c r="C39" s="6"/>
      <c r="D39" s="6"/>
      <c r="E39" s="6"/>
      <c r="F39" s="6"/>
      <c r="G39" s="6"/>
    </row>
    <row r="40" spans="1:7" x14ac:dyDescent="0.35">
      <c r="A40" t="s">
        <v>66</v>
      </c>
      <c r="B40" s="4">
        <v>45331</v>
      </c>
      <c r="D40" s="5" t="s">
        <v>9</v>
      </c>
      <c r="F40" t="s">
        <v>10</v>
      </c>
    </row>
    <row r="41" spans="1:7" x14ac:dyDescent="0.35">
      <c r="A41" t="s">
        <v>67</v>
      </c>
      <c r="B41" s="4">
        <v>45331</v>
      </c>
      <c r="D41">
        <v>1</v>
      </c>
      <c r="F41" t="s">
        <v>10</v>
      </c>
    </row>
    <row r="43" spans="1:7" x14ac:dyDescent="0.35">
      <c r="A43" s="8" t="s">
        <v>68</v>
      </c>
      <c r="B43" s="8"/>
      <c r="C43" s="8"/>
      <c r="D43" s="8"/>
      <c r="E43" s="8"/>
    </row>
  </sheetData>
  <pageMargins left="0.7" right="0.7" top="0.78740157499999996" bottom="0.78740157499999996"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Bobby Bilali</dc:creator>
  <cp:keywords/>
  <dc:description/>
  <cp:lastModifiedBy>Mahir Gönen</cp:lastModifiedBy>
  <cp:revision/>
  <dcterms:created xsi:type="dcterms:W3CDTF">2024-02-08T21:14:52Z</dcterms:created>
  <dcterms:modified xsi:type="dcterms:W3CDTF">2024-02-09T14:26:27Z</dcterms:modified>
  <cp:category/>
  <cp:contentStatus/>
</cp:coreProperties>
</file>